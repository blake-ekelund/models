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8_{053D68A0-773B-4E0B-85DC-F5E79B7596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sh Flow Model" sheetId="1" r:id="rId1"/>
  </sheets>
  <definedNames>
    <definedName name="COGS">'Cash Flow Model'!$C$8</definedName>
    <definedName name="Monthly_OPEX">'Cash Flow Model'!$C$9</definedName>
    <definedName name="Monthly_Revenue">'Cash Flow Model'!$C$7</definedName>
    <definedName name="Starting_Cash">'Cash Flow Model'!$C$6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1" l="1"/>
  <c r="M16" i="1"/>
  <c r="L16" i="1"/>
  <c r="K16" i="1"/>
  <c r="J16" i="1"/>
  <c r="I16" i="1"/>
  <c r="H16" i="1"/>
  <c r="G16" i="1"/>
  <c r="F16" i="1"/>
  <c r="E16" i="1"/>
  <c r="D16" i="1"/>
  <c r="C14" i="1"/>
  <c r="C16" i="1"/>
  <c r="C13" i="1"/>
  <c r="C23" i="1"/>
  <c r="N19" i="1"/>
  <c r="M19" i="1"/>
  <c r="L19" i="1"/>
  <c r="K19" i="1"/>
  <c r="J19" i="1"/>
  <c r="I19" i="1"/>
  <c r="H19" i="1"/>
  <c r="G19" i="1"/>
  <c r="F19" i="1"/>
  <c r="E19" i="1"/>
  <c r="D19" i="1"/>
  <c r="C19" i="1"/>
  <c r="O19" i="1" s="1"/>
  <c r="C17" i="1"/>
  <c r="D17" i="1" l="1"/>
  <c r="C18" i="1"/>
  <c r="C20" i="1"/>
  <c r="O23" i="1"/>
  <c r="C24" i="1" l="1"/>
  <c r="D18" i="1"/>
  <c r="D20" i="1" s="1"/>
  <c r="E17" i="1"/>
  <c r="D24" i="1" l="1"/>
  <c r="E18" i="1"/>
  <c r="F17" i="1"/>
  <c r="C25" i="1"/>
  <c r="D23" i="1" s="1"/>
  <c r="D25" i="1" s="1"/>
  <c r="E23" i="1" s="1"/>
  <c r="F18" i="1" l="1"/>
  <c r="G17" i="1"/>
  <c r="E20" i="1"/>
  <c r="E24" i="1" l="1"/>
  <c r="G18" i="1"/>
  <c r="G20" i="1" s="1"/>
  <c r="G24" i="1" s="1"/>
  <c r="H17" i="1"/>
  <c r="F20" i="1"/>
  <c r="F24" i="1" s="1"/>
  <c r="H18" i="1" l="1"/>
  <c r="I17" i="1"/>
  <c r="H20" i="1"/>
  <c r="H24" i="1" s="1"/>
  <c r="E25" i="1"/>
  <c r="F23" i="1" s="1"/>
  <c r="F25" i="1" s="1"/>
  <c r="G23" i="1" s="1"/>
  <c r="G25" i="1" s="1"/>
  <c r="H23" i="1" s="1"/>
  <c r="H25" i="1" s="1"/>
  <c r="I23" i="1" s="1"/>
  <c r="I18" i="1" l="1"/>
  <c r="J17" i="1"/>
  <c r="I20" i="1"/>
  <c r="I24" i="1" l="1"/>
  <c r="J18" i="1"/>
  <c r="J20" i="1" s="1"/>
  <c r="J24" i="1" s="1"/>
  <c r="K17" i="1"/>
  <c r="K18" i="1" l="1"/>
  <c r="K20" i="1" s="1"/>
  <c r="K24" i="1" s="1"/>
  <c r="L17" i="1"/>
  <c r="I25" i="1"/>
  <c r="J23" i="1" s="1"/>
  <c r="J25" i="1" s="1"/>
  <c r="K23" i="1" s="1"/>
  <c r="K25" i="1" l="1"/>
  <c r="L23" i="1" s="1"/>
  <c r="L18" i="1"/>
  <c r="L20" i="1" s="1"/>
  <c r="L24" i="1" s="1"/>
  <c r="M17" i="1"/>
  <c r="M18" i="1" l="1"/>
  <c r="M20" i="1" s="1"/>
  <c r="M24" i="1" s="1"/>
  <c r="N17" i="1"/>
  <c r="L25" i="1"/>
  <c r="M23" i="1" s="1"/>
  <c r="N18" i="1" l="1"/>
  <c r="O18" i="1" s="1"/>
  <c r="O17" i="1"/>
  <c r="M25" i="1"/>
  <c r="N23" i="1" s="1"/>
  <c r="N20" i="1" l="1"/>
  <c r="N24" i="1" l="1"/>
  <c r="O20" i="1"/>
  <c r="O24" i="1" l="1"/>
  <c r="O25" i="1" s="1"/>
  <c r="C12" i="1" s="1"/>
  <c r="N25" i="1"/>
</calcChain>
</file>

<file path=xl/sharedStrings.xml><?xml version="1.0" encoding="utf-8"?>
<sst xmlns="http://schemas.openxmlformats.org/spreadsheetml/2006/main" count="29" uniqueCount="25">
  <si>
    <t>12-Month Cash Flow</t>
  </si>
  <si>
    <t>Version</t>
  </si>
  <si>
    <t>1.0.0</t>
  </si>
  <si>
    <t>Created by blake@synario.io</t>
  </si>
  <si>
    <t>Date</t>
  </si>
  <si>
    <t>Inputs</t>
  </si>
  <si>
    <t>Value</t>
  </si>
  <si>
    <t>Starting Cash</t>
  </si>
  <si>
    <t>Monthly Revenue</t>
  </si>
  <si>
    <t>COGS (% of Revenue</t>
  </si>
  <si>
    <t>Monthly Operating Expenses</t>
  </si>
  <si>
    <t>Derived outputs (auto-calculated)</t>
  </si>
  <si>
    <t>Ending Cash (Month 12)</t>
  </si>
  <si>
    <t>Runway (Months)</t>
  </si>
  <si>
    <t>Out of Cash</t>
  </si>
  <si>
    <t>Monthly Schedule</t>
  </si>
  <si>
    <t>12 Months</t>
  </si>
  <si>
    <t>Cost of Goods Sold</t>
  </si>
  <si>
    <t>Change in Cash</t>
  </si>
  <si>
    <t>Cash Flow</t>
  </si>
  <si>
    <t>Net Change in Cash</t>
  </si>
  <si>
    <t>Ending Cash</t>
  </si>
  <si>
    <t>Assumptions</t>
  </si>
  <si>
    <t>-Both Monthly Revenue, Cost of Goods Sold, and Operating Expenses remain flat month over month</t>
  </si>
  <si>
    <t>-No additional transactions account for - cash inflows or outflows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</si>
</sst>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7" formatCode="[$-409]mmm\-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1"/>
      <color rgb="FFE3E3E3"/>
      <name val="Arial"/>
      <family val="2"/>
    </font>
    <font>
      <b/>
      <sz val="11"/>
      <color rgb="FF234C6A"/>
      <name val="Arial"/>
      <family val="2"/>
    </font>
    <font>
      <b/>
      <sz val="11"/>
      <color theme="1"/>
      <name val="Arial"/>
      <family val="2"/>
    </font>
    <font>
      <sz val="11"/>
      <color rgb="FFE3E3E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3C5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 indent="6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indent="6"/>
    </xf>
    <xf numFmtId="0" fontId="5" fillId="0" borderId="0" xfId="0" applyFont="1" applyAlignment="1">
      <alignment vertical="center"/>
    </xf>
    <xf numFmtId="14" fontId="3" fillId="0" borderId="0" xfId="0" applyNumberFormat="1" applyFont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right" vertical="center"/>
    </xf>
    <xf numFmtId="0" fontId="1" fillId="0" borderId="3" xfId="0" applyFont="1" applyBorder="1" applyAlignment="1">
      <alignment vertical="center"/>
    </xf>
    <xf numFmtId="37" fontId="7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37" fontId="7" fillId="0" borderId="6" xfId="0" applyNumberFormat="1" applyFont="1" applyBorder="1" applyAlignment="1">
      <alignment vertical="center"/>
    </xf>
    <xf numFmtId="10" fontId="7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37" fontId="7" fillId="0" borderId="8" xfId="0" applyNumberFormat="1" applyFont="1" applyBorder="1" applyAlignment="1">
      <alignment vertical="center"/>
    </xf>
    <xf numFmtId="37" fontId="1" fillId="0" borderId="4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37" fontId="1" fillId="0" borderId="0" xfId="0" applyNumberFormat="1" applyFont="1" applyAlignment="1">
      <alignment horizontal="right" vertical="center"/>
    </xf>
    <xf numFmtId="37" fontId="8" fillId="0" borderId="11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horizontal="left" vertical="center"/>
    </xf>
    <xf numFmtId="0" fontId="8" fillId="0" borderId="12" xfId="0" applyFont="1" applyBorder="1" applyAlignment="1">
      <alignment vertical="center"/>
    </xf>
    <xf numFmtId="37" fontId="8" fillId="0" borderId="13" xfId="0" applyNumberFormat="1" applyFont="1" applyBorder="1" applyAlignment="1">
      <alignment horizontal="right" vertical="center"/>
    </xf>
    <xf numFmtId="37" fontId="8" fillId="0" borderId="14" xfId="0" applyNumberFormat="1" applyFont="1" applyBorder="1" applyAlignment="1">
      <alignment horizontal="right" vertical="center"/>
    </xf>
    <xf numFmtId="43" fontId="1" fillId="0" borderId="0" xfId="0" applyNumberFormat="1" applyFont="1" applyAlignment="1">
      <alignment horizontal="right" vertical="center"/>
    </xf>
    <xf numFmtId="43" fontId="1" fillId="0" borderId="11" xfId="0" applyNumberFormat="1" applyFont="1" applyBorder="1" applyAlignment="1">
      <alignment horizontal="right" vertical="center"/>
    </xf>
    <xf numFmtId="0" fontId="8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37" fontId="1" fillId="0" borderId="0" xfId="0" applyNumberFormat="1" applyFont="1" applyAlignment="1">
      <alignment vertical="center"/>
    </xf>
    <xf numFmtId="37" fontId="8" fillId="0" borderId="11" xfId="0" applyNumberFormat="1" applyFont="1" applyBorder="1" applyAlignment="1">
      <alignment vertical="center"/>
    </xf>
    <xf numFmtId="0" fontId="8" fillId="0" borderId="15" xfId="0" applyFont="1" applyBorder="1" applyAlignment="1">
      <alignment horizontal="left" vertical="center"/>
    </xf>
    <xf numFmtId="37" fontId="8" fillId="0" borderId="16" xfId="0" applyNumberFormat="1" applyFont="1" applyBorder="1" applyAlignment="1">
      <alignment vertical="center"/>
    </xf>
    <xf numFmtId="37" fontId="8" fillId="0" borderId="17" xfId="0" applyNumberFormat="1" applyFont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0" fontId="9" fillId="2" borderId="2" xfId="0" applyFont="1" applyFill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2" xfId="0" applyFont="1" applyBorder="1" applyAlignment="1">
      <alignment vertical="center"/>
    </xf>
    <xf numFmtId="167" fontId="6" fillId="2" borderId="9" xfId="0" applyNumberFormat="1" applyFont="1" applyFill="1" applyBorder="1" applyAlignment="1">
      <alignment horizontal="right" vertical="center"/>
    </xf>
    <xf numFmtId="167" fontId="6" fillId="2" borderId="23" xfId="0" applyNumberFormat="1" applyFont="1" applyFill="1" applyBorder="1" applyAlignment="1">
      <alignment horizontal="right" vertical="center"/>
    </xf>
    <xf numFmtId="37" fontId="1" fillId="0" borderId="24" xfId="0" applyNumberFormat="1" applyFont="1" applyBorder="1" applyAlignment="1">
      <alignment horizontal="right" vertical="center"/>
    </xf>
    <xf numFmtId="37" fontId="8" fillId="0" borderId="25" xfId="0" applyNumberFormat="1" applyFont="1" applyBorder="1" applyAlignment="1">
      <alignment horizontal="right" vertical="center"/>
    </xf>
    <xf numFmtId="43" fontId="1" fillId="0" borderId="24" xfId="0" applyNumberFormat="1" applyFont="1" applyBorder="1" applyAlignment="1">
      <alignment horizontal="right" vertical="center"/>
    </xf>
    <xf numFmtId="0" fontId="1" fillId="0" borderId="24" xfId="0" applyFont="1" applyBorder="1" applyAlignment="1">
      <alignment vertical="center"/>
    </xf>
    <xf numFmtId="37" fontId="1" fillId="0" borderId="24" xfId="0" applyNumberFormat="1" applyFont="1" applyBorder="1" applyAlignment="1">
      <alignment vertical="center"/>
    </xf>
    <xf numFmtId="37" fontId="8" fillId="0" borderId="26" xfId="0" applyNumberFormat="1" applyFont="1" applyBorder="1" applyAlignment="1">
      <alignment vertical="center"/>
    </xf>
    <xf numFmtId="167" fontId="1" fillId="0" borderId="8" xfId="0" applyNumberFormat="1" applyFont="1" applyBorder="1" applyAlignment="1">
      <alignment horizontal="right" vertical="center"/>
    </xf>
  </cellXfs>
  <cellStyles count="1">
    <cellStyle name="Normal" xfId="0" builtinId="0"/>
  </cellStyles>
  <dxfs count="2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synario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403609</xdr:colOff>
      <xdr:row>3</xdr:row>
      <xdr:rowOff>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0"/>
  <sheetViews>
    <sheetView showGridLines="0" tabSelected="1" zoomScaleNormal="100" workbookViewId="0">
      <selection activeCell="D3" sqref="D3"/>
    </sheetView>
  </sheetViews>
  <sheetFormatPr defaultRowHeight="13.8" customHeight="1" x14ac:dyDescent="0.3"/>
  <cols>
    <col min="1" max="1" width="2.77734375" style="1" customWidth="1"/>
    <col min="2" max="2" width="43.33203125" style="1" customWidth="1"/>
    <col min="3" max="3" width="12.77734375" style="1" customWidth="1"/>
    <col min="4" max="15" width="11.88671875" style="1" customWidth="1"/>
    <col min="16" max="16" width="8.88671875" style="1" customWidth="1"/>
    <col min="17" max="16384" width="8.88671875" style="1"/>
  </cols>
  <sheetData>
    <row r="2" spans="2:15" ht="17.399999999999999" customHeight="1" x14ac:dyDescent="0.3">
      <c r="B2" s="2" t="s">
        <v>0</v>
      </c>
      <c r="N2" s="3" t="s">
        <v>1</v>
      </c>
      <c r="O2" s="4" t="s">
        <v>2</v>
      </c>
    </row>
    <row r="3" spans="2:15" ht="14.4" customHeight="1" x14ac:dyDescent="0.3">
      <c r="B3" s="5" t="s">
        <v>3</v>
      </c>
      <c r="G3" s="6"/>
      <c r="N3" s="3" t="s">
        <v>4</v>
      </c>
      <c r="O3" s="7">
        <v>46005</v>
      </c>
    </row>
    <row r="4" spans="2:15" ht="14.4" customHeight="1" x14ac:dyDescent="0.3"/>
    <row r="5" spans="2:15" x14ac:dyDescent="0.3">
      <c r="B5" s="8" t="s">
        <v>5</v>
      </c>
      <c r="C5" s="9" t="s">
        <v>6</v>
      </c>
    </row>
    <row r="6" spans="2:15" x14ac:dyDescent="0.3">
      <c r="B6" s="10" t="s">
        <v>7</v>
      </c>
      <c r="C6" s="11">
        <v>25000</v>
      </c>
    </row>
    <row r="7" spans="2:15" x14ac:dyDescent="0.3">
      <c r="B7" s="12" t="s">
        <v>8</v>
      </c>
      <c r="C7" s="13">
        <v>15000</v>
      </c>
    </row>
    <row r="8" spans="2:15" x14ac:dyDescent="0.3">
      <c r="B8" s="12" t="s">
        <v>9</v>
      </c>
      <c r="C8" s="14">
        <v>0.5</v>
      </c>
    </row>
    <row r="9" spans="2:15" ht="14.4" customHeight="1" x14ac:dyDescent="0.3">
      <c r="B9" s="15" t="s">
        <v>10</v>
      </c>
      <c r="C9" s="16">
        <v>10000</v>
      </c>
    </row>
    <row r="10" spans="2:15" ht="14.4" customHeight="1" x14ac:dyDescent="0.3"/>
    <row r="11" spans="2:15" x14ac:dyDescent="0.3">
      <c r="B11" s="8" t="s">
        <v>11</v>
      </c>
      <c r="C11" s="9" t="s">
        <v>6</v>
      </c>
    </row>
    <row r="12" spans="2:15" x14ac:dyDescent="0.3">
      <c r="B12" s="10" t="s">
        <v>12</v>
      </c>
      <c r="C12" s="17">
        <f>O25</f>
        <v>-5000</v>
      </c>
    </row>
    <row r="13" spans="2:15" x14ac:dyDescent="0.3">
      <c r="B13" s="12" t="s">
        <v>13</v>
      </c>
      <c r="C13" s="18">
        <f>IFERROR(IF(C20&gt;0,NA(),ROUNDDOWN(ABS(Starting_Cash/C20),0)),NA())</f>
        <v>10</v>
      </c>
    </row>
    <row r="14" spans="2:15" ht="14.4" customHeight="1" x14ac:dyDescent="0.3">
      <c r="B14" s="15" t="s">
        <v>14</v>
      </c>
      <c r="C14" s="50">
        <f ca="1">EOMONTH(TODAY(),C13-1)</f>
        <v>46295</v>
      </c>
    </row>
    <row r="15" spans="2:15" ht="14.4" customHeight="1" x14ac:dyDescent="0.3"/>
    <row r="16" spans="2:15" x14ac:dyDescent="0.3">
      <c r="B16" s="8" t="s">
        <v>15</v>
      </c>
      <c r="C16" s="42">
        <f ca="1">EOMONTH(TODAY(),COLUMN()-3)</f>
        <v>46022</v>
      </c>
      <c r="D16" s="42">
        <f t="shared" ref="D16:O16" ca="1" si="0">EOMONTH(TODAY(),COLUMN()-3)</f>
        <v>46053</v>
      </c>
      <c r="E16" s="42">
        <f t="shared" ca="1" si="0"/>
        <v>46081</v>
      </c>
      <c r="F16" s="42">
        <f t="shared" ca="1" si="0"/>
        <v>46112</v>
      </c>
      <c r="G16" s="42">
        <f t="shared" ca="1" si="0"/>
        <v>46142</v>
      </c>
      <c r="H16" s="42">
        <f t="shared" ca="1" si="0"/>
        <v>46173</v>
      </c>
      <c r="I16" s="42">
        <f t="shared" ca="1" si="0"/>
        <v>46203</v>
      </c>
      <c r="J16" s="42">
        <f t="shared" ca="1" si="0"/>
        <v>46234</v>
      </c>
      <c r="K16" s="42">
        <f t="shared" ca="1" si="0"/>
        <v>46265</v>
      </c>
      <c r="L16" s="42">
        <f t="shared" ca="1" si="0"/>
        <v>46295</v>
      </c>
      <c r="M16" s="42">
        <f t="shared" ca="1" si="0"/>
        <v>46326</v>
      </c>
      <c r="N16" s="43">
        <f t="shared" ca="1" si="0"/>
        <v>46356</v>
      </c>
      <c r="O16" s="9" t="s">
        <v>16</v>
      </c>
    </row>
    <row r="17" spans="2:15" x14ac:dyDescent="0.3">
      <c r="B17" s="19" t="s">
        <v>8</v>
      </c>
      <c r="C17" s="20">
        <f>Monthly_Revenue</f>
        <v>15000</v>
      </c>
      <c r="D17" s="20">
        <f>C17</f>
        <v>15000</v>
      </c>
      <c r="E17" s="20">
        <f t="shared" ref="E17:N17" si="1">D17</f>
        <v>15000</v>
      </c>
      <c r="F17" s="20">
        <f t="shared" si="1"/>
        <v>15000</v>
      </c>
      <c r="G17" s="20">
        <f t="shared" si="1"/>
        <v>15000</v>
      </c>
      <c r="H17" s="20">
        <f t="shared" si="1"/>
        <v>15000</v>
      </c>
      <c r="I17" s="20">
        <f t="shared" si="1"/>
        <v>15000</v>
      </c>
      <c r="J17" s="20">
        <f t="shared" si="1"/>
        <v>15000</v>
      </c>
      <c r="K17" s="20">
        <f t="shared" si="1"/>
        <v>15000</v>
      </c>
      <c r="L17" s="20">
        <f t="shared" si="1"/>
        <v>15000</v>
      </c>
      <c r="M17" s="20">
        <f t="shared" si="1"/>
        <v>15000</v>
      </c>
      <c r="N17" s="44">
        <f t="shared" si="1"/>
        <v>15000</v>
      </c>
      <c r="O17" s="21">
        <f>SUM(C17:N17)</f>
        <v>180000</v>
      </c>
    </row>
    <row r="18" spans="2:15" x14ac:dyDescent="0.3">
      <c r="B18" s="19" t="s">
        <v>17</v>
      </c>
      <c r="C18" s="20">
        <f t="shared" ref="C18:N18" si="2">C17*COGS</f>
        <v>7500</v>
      </c>
      <c r="D18" s="20">
        <f t="shared" si="2"/>
        <v>7500</v>
      </c>
      <c r="E18" s="20">
        <f t="shared" si="2"/>
        <v>7500</v>
      </c>
      <c r="F18" s="20">
        <f t="shared" si="2"/>
        <v>7500</v>
      </c>
      <c r="G18" s="20">
        <f t="shared" si="2"/>
        <v>7500</v>
      </c>
      <c r="H18" s="20">
        <f t="shared" si="2"/>
        <v>7500</v>
      </c>
      <c r="I18" s="20">
        <f t="shared" si="2"/>
        <v>7500</v>
      </c>
      <c r="J18" s="20">
        <f t="shared" si="2"/>
        <v>7500</v>
      </c>
      <c r="K18" s="20">
        <f t="shared" si="2"/>
        <v>7500</v>
      </c>
      <c r="L18" s="20">
        <f t="shared" si="2"/>
        <v>7500</v>
      </c>
      <c r="M18" s="20">
        <f t="shared" si="2"/>
        <v>7500</v>
      </c>
      <c r="N18" s="44">
        <f t="shared" si="2"/>
        <v>7500</v>
      </c>
      <c r="O18" s="21">
        <f t="shared" ref="O18:O20" si="3">SUM(C18:N18)</f>
        <v>90000</v>
      </c>
    </row>
    <row r="19" spans="2:15" x14ac:dyDescent="0.3">
      <c r="B19" s="22" t="s">
        <v>10</v>
      </c>
      <c r="C19" s="20">
        <f t="shared" ref="C19:N19" si="4">Monthly_OPEX</f>
        <v>10000</v>
      </c>
      <c r="D19" s="20">
        <f t="shared" si="4"/>
        <v>10000</v>
      </c>
      <c r="E19" s="20">
        <f t="shared" si="4"/>
        <v>10000</v>
      </c>
      <c r="F19" s="20">
        <f t="shared" si="4"/>
        <v>10000</v>
      </c>
      <c r="G19" s="20">
        <f t="shared" si="4"/>
        <v>10000</v>
      </c>
      <c r="H19" s="20">
        <f t="shared" si="4"/>
        <v>10000</v>
      </c>
      <c r="I19" s="20">
        <f t="shared" si="4"/>
        <v>10000</v>
      </c>
      <c r="J19" s="20">
        <f t="shared" si="4"/>
        <v>10000</v>
      </c>
      <c r="K19" s="20">
        <f t="shared" si="4"/>
        <v>10000</v>
      </c>
      <c r="L19" s="20">
        <f t="shared" si="4"/>
        <v>10000</v>
      </c>
      <c r="M19" s="20">
        <f t="shared" si="4"/>
        <v>10000</v>
      </c>
      <c r="N19" s="44">
        <f t="shared" si="4"/>
        <v>10000</v>
      </c>
      <c r="O19" s="21">
        <f t="shared" si="3"/>
        <v>120000</v>
      </c>
    </row>
    <row r="20" spans="2:15" x14ac:dyDescent="0.3">
      <c r="B20" s="23" t="s">
        <v>18</v>
      </c>
      <c r="C20" s="24">
        <f>C17-C18-C19</f>
        <v>-2500</v>
      </c>
      <c r="D20" s="24">
        <f t="shared" ref="D20:N20" si="5">D17-D18-D19</f>
        <v>-2500</v>
      </c>
      <c r="E20" s="24">
        <f t="shared" si="5"/>
        <v>-2500</v>
      </c>
      <c r="F20" s="24">
        <f t="shared" si="5"/>
        <v>-2500</v>
      </c>
      <c r="G20" s="24">
        <f t="shared" si="5"/>
        <v>-2500</v>
      </c>
      <c r="H20" s="24">
        <f t="shared" si="5"/>
        <v>-2500</v>
      </c>
      <c r="I20" s="24">
        <f t="shared" si="5"/>
        <v>-2500</v>
      </c>
      <c r="J20" s="24">
        <f t="shared" si="5"/>
        <v>-2500</v>
      </c>
      <c r="K20" s="24">
        <f t="shared" si="5"/>
        <v>-2500</v>
      </c>
      <c r="L20" s="24">
        <f t="shared" si="5"/>
        <v>-2500</v>
      </c>
      <c r="M20" s="24">
        <f t="shared" si="5"/>
        <v>-2500</v>
      </c>
      <c r="N20" s="45">
        <f t="shared" si="5"/>
        <v>-2500</v>
      </c>
      <c r="O20" s="25">
        <f t="shared" si="3"/>
        <v>-30000</v>
      </c>
    </row>
    <row r="21" spans="2:15" x14ac:dyDescent="0.3">
      <c r="B21" s="19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46"/>
      <c r="O21" s="27"/>
    </row>
    <row r="22" spans="2:15" x14ac:dyDescent="0.3">
      <c r="B22" s="28" t="s">
        <v>19</v>
      </c>
      <c r="N22" s="47"/>
      <c r="O22" s="29"/>
    </row>
    <row r="23" spans="2:15" x14ac:dyDescent="0.3">
      <c r="B23" s="22" t="s">
        <v>7</v>
      </c>
      <c r="C23" s="30">
        <f>Starting_Cash</f>
        <v>25000</v>
      </c>
      <c r="D23" s="30">
        <f>C25</f>
        <v>22500</v>
      </c>
      <c r="E23" s="30">
        <f t="shared" ref="E23:N23" si="6">D25</f>
        <v>20000</v>
      </c>
      <c r="F23" s="30">
        <f t="shared" si="6"/>
        <v>17500</v>
      </c>
      <c r="G23" s="30">
        <f t="shared" si="6"/>
        <v>15000</v>
      </c>
      <c r="H23" s="30">
        <f t="shared" si="6"/>
        <v>12500</v>
      </c>
      <c r="I23" s="30">
        <f t="shared" si="6"/>
        <v>10000</v>
      </c>
      <c r="J23" s="30">
        <f t="shared" si="6"/>
        <v>7500</v>
      </c>
      <c r="K23" s="30">
        <f t="shared" si="6"/>
        <v>5000</v>
      </c>
      <c r="L23" s="30">
        <f t="shared" si="6"/>
        <v>2500</v>
      </c>
      <c r="M23" s="30">
        <f t="shared" si="6"/>
        <v>0</v>
      </c>
      <c r="N23" s="48">
        <f t="shared" si="6"/>
        <v>-2500</v>
      </c>
      <c r="O23" s="31">
        <f>C23</f>
        <v>25000</v>
      </c>
    </row>
    <row r="24" spans="2:15" x14ac:dyDescent="0.3">
      <c r="B24" s="22" t="s">
        <v>20</v>
      </c>
      <c r="C24" s="30">
        <f>C20</f>
        <v>-2500</v>
      </c>
      <c r="D24" s="30">
        <f>D20</f>
        <v>-2500</v>
      </c>
      <c r="E24" s="30">
        <f t="shared" ref="E24:N24" si="7">E20</f>
        <v>-2500</v>
      </c>
      <c r="F24" s="30">
        <f t="shared" si="7"/>
        <v>-2500</v>
      </c>
      <c r="G24" s="30">
        <f t="shared" si="7"/>
        <v>-2500</v>
      </c>
      <c r="H24" s="30">
        <f t="shared" si="7"/>
        <v>-2500</v>
      </c>
      <c r="I24" s="30">
        <f t="shared" si="7"/>
        <v>-2500</v>
      </c>
      <c r="J24" s="30">
        <f t="shared" si="7"/>
        <v>-2500</v>
      </c>
      <c r="K24" s="30">
        <f t="shared" si="7"/>
        <v>-2500</v>
      </c>
      <c r="L24" s="30">
        <f t="shared" si="7"/>
        <v>-2500</v>
      </c>
      <c r="M24" s="30">
        <f t="shared" si="7"/>
        <v>-2500</v>
      </c>
      <c r="N24" s="48">
        <f t="shared" si="7"/>
        <v>-2500</v>
      </c>
      <c r="O24" s="31">
        <f>SUM(C24:N24)</f>
        <v>-30000</v>
      </c>
    </row>
    <row r="25" spans="2:15" ht="14.4" customHeight="1" x14ac:dyDescent="0.3">
      <c r="B25" s="32" t="s">
        <v>21</v>
      </c>
      <c r="C25" s="33">
        <f>C23+C24</f>
        <v>22500</v>
      </c>
      <c r="D25" s="33">
        <f t="shared" ref="D25" si="8">D23+D24</f>
        <v>20000</v>
      </c>
      <c r="E25" s="33">
        <f t="shared" ref="E25" si="9">E23+E24</f>
        <v>17500</v>
      </c>
      <c r="F25" s="33">
        <f t="shared" ref="F25" si="10">F23+F24</f>
        <v>15000</v>
      </c>
      <c r="G25" s="33">
        <f t="shared" ref="G25" si="11">G23+G24</f>
        <v>12500</v>
      </c>
      <c r="H25" s="33">
        <f t="shared" ref="H25" si="12">H23+H24</f>
        <v>10000</v>
      </c>
      <c r="I25" s="33">
        <f t="shared" ref="I25" si="13">I23+I24</f>
        <v>7500</v>
      </c>
      <c r="J25" s="33">
        <f t="shared" ref="J25" si="14">J23+J24</f>
        <v>5000</v>
      </c>
      <c r="K25" s="33">
        <f t="shared" ref="K25" si="15">K23+K24</f>
        <v>2500</v>
      </c>
      <c r="L25" s="33">
        <f t="shared" ref="L25" si="16">L23+L24</f>
        <v>0</v>
      </c>
      <c r="M25" s="33">
        <f t="shared" ref="M25" si="17">M23+M24</f>
        <v>-2500</v>
      </c>
      <c r="N25" s="49">
        <f t="shared" ref="N25" si="18">N23+N24</f>
        <v>-5000</v>
      </c>
      <c r="O25" s="34">
        <f>O23+O24</f>
        <v>-5000</v>
      </c>
    </row>
    <row r="26" spans="2:15" ht="15" customHeight="1" x14ac:dyDescent="0.3"/>
    <row r="27" spans="2:15" x14ac:dyDescent="0.3">
      <c r="B27" s="35" t="s">
        <v>22</v>
      </c>
      <c r="C27" s="36"/>
      <c r="D27" s="36"/>
      <c r="E27" s="36"/>
      <c r="F27" s="36"/>
      <c r="G27" s="36"/>
      <c r="H27" s="37"/>
    </row>
    <row r="28" spans="2:15" x14ac:dyDescent="0.3">
      <c r="B28" s="38" t="s">
        <v>23</v>
      </c>
      <c r="H28" s="29"/>
    </row>
    <row r="29" spans="2:15" x14ac:dyDescent="0.3">
      <c r="B29" s="38" t="s">
        <v>24</v>
      </c>
      <c r="H29" s="29"/>
    </row>
    <row r="30" spans="2:15" ht="14.4" customHeight="1" x14ac:dyDescent="0.3">
      <c r="B30" s="39"/>
      <c r="C30" s="40"/>
      <c r="D30" s="40"/>
      <c r="E30" s="40"/>
      <c r="F30" s="40"/>
      <c r="G30" s="40"/>
      <c r="H30" s="41"/>
    </row>
  </sheetData>
  <conditionalFormatting sqref="B6:C9 B17:O25 B28:H30">
    <cfRule type="expression" dxfId="1" priority="4">
      <formula>MOD(ROW(),2)=0</formula>
    </cfRule>
  </conditionalFormatting>
  <conditionalFormatting sqref="B12:C14">
    <cfRule type="expression" dxfId="0" priority="3">
      <formula>MOD(ROW(),2)=0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Cash Flow Model</vt:lpstr>
      <vt:lpstr>COGS</vt:lpstr>
      <vt:lpstr>Monthly_OPEX</vt:lpstr>
      <vt:lpstr>Monthly_Revenue</vt:lpstr>
      <vt:lpstr>Starting_Cash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2025-12-15T00:44:23Z</dcterms:created>
  <dcterms:modified xsi:type="dcterms:W3CDTF">2025-12-15T04:40:00Z</dcterms:modified>
</cp:coreProperties>
</file>
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f68783cb6249d0/Desktop/"/>
    </mc:Choice>
  </mc:AlternateContent>
  <xr:revisionPtr revIDLastSave="266" documentId="8_{E66FEC2E-CAA1-4336-81AB-256C9B85E5F0}" xr6:coauthVersionLast="47" xr6:coauthVersionMax="47" xr10:uidLastSave="{32E8D787-8B4E-47BD-96DC-4B7AC7B90464}"/>
  <bookViews>
    <workbookView xWindow="-108" yWindow="-108" windowWidth="23256" windowHeight="12456" xr2:uid="{3F7E044B-EEC7-4EE8-9C3F-62F6EA733BAA}"/>
  </bookViews>
  <sheets>
    <sheet name="Revenue Model" sheetId="1" r:id="rId1"/>
  </sheets>
  <definedNames>
    <definedName name="ARPPU">'Revenue Model'!$C$9</definedName>
    <definedName name="CAC">'Revenue Model'!$C$7</definedName>
    <definedName name="Monthly_Ad_Spend">'Revenue Model'!$C$6</definedName>
    <definedName name="Monthly_Churn">'Revenue Model'!$C$8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1" l="1"/>
  <c r="C20" i="1"/>
  <c r="C19" i="1"/>
  <c r="N16" i="1"/>
  <c r="M16" i="1"/>
  <c r="D16" i="1"/>
  <c r="E16" i="1"/>
  <c r="F16" i="1"/>
  <c r="G16" i="1"/>
  <c r="H16" i="1"/>
  <c r="I16" i="1"/>
  <c r="J16" i="1"/>
  <c r="K16" i="1"/>
  <c r="L16" i="1"/>
  <c r="C16" i="1"/>
  <c r="D20" i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D19" i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l="1"/>
  <c r="N21" i="1"/>
  <c r="N25" i="1" s="1"/>
  <c r="I21" i="1"/>
  <c r="I25" i="1" s="1"/>
  <c r="G21" i="1"/>
  <c r="G25" i="1" s="1"/>
  <c r="F21" i="1"/>
  <c r="F25" i="1" s="1"/>
  <c r="C21" i="1"/>
  <c r="L21" i="1"/>
  <c r="L25" i="1" s="1"/>
  <c r="E21" i="1"/>
  <c r="E25" i="1" s="1"/>
  <c r="D21" i="1"/>
  <c r="D25" i="1" s="1"/>
  <c r="K21" i="1"/>
  <c r="K25" i="1" s="1"/>
  <c r="H21" i="1"/>
  <c r="H25" i="1" s="1"/>
  <c r="M21" i="1"/>
  <c r="M25" i="1" s="1"/>
  <c r="J21" i="1"/>
  <c r="J25" i="1" s="1"/>
  <c r="C25" i="1" l="1"/>
  <c r="O21" i="1"/>
  <c r="O20" i="1" s="1"/>
  <c r="C27" i="1" l="1"/>
  <c r="C28" i="1" s="1"/>
  <c r="O25" i="1"/>
  <c r="C31" i="1" l="1"/>
  <c r="D24" i="1"/>
  <c r="D26" i="1"/>
  <c r="D27" i="1" l="1"/>
  <c r="D28" i="1"/>
  <c r="C32" i="1"/>
  <c r="D31" i="1" l="1"/>
  <c r="E26" i="1"/>
  <c r="E24" i="1"/>
  <c r="E27" i="1" l="1"/>
  <c r="E28" i="1" s="1"/>
  <c r="D32" i="1"/>
  <c r="F26" i="1" l="1"/>
  <c r="F24" i="1"/>
  <c r="E31" i="1"/>
  <c r="E32" i="1" l="1"/>
  <c r="F27" i="1"/>
  <c r="F28" i="1" s="1"/>
  <c r="G26" i="1" l="1"/>
  <c r="F31" i="1"/>
  <c r="G24" i="1"/>
  <c r="F32" i="1" l="1"/>
  <c r="G27" i="1"/>
  <c r="G28" i="1" s="1"/>
  <c r="H26" i="1" l="1"/>
  <c r="G31" i="1"/>
  <c r="H24" i="1"/>
  <c r="G32" i="1" l="1"/>
  <c r="H27" i="1"/>
  <c r="H28" i="1" s="1"/>
  <c r="I26" i="1" l="1"/>
  <c r="I27" i="1" s="1"/>
  <c r="H31" i="1"/>
  <c r="H32" i="1" s="1"/>
  <c r="I24" i="1"/>
  <c r="I28" i="1" s="1"/>
  <c r="J26" i="1"/>
  <c r="J27" i="1" s="1"/>
  <c r="I31" i="1"/>
  <c r="I32" i="1" s="1"/>
  <c r="J24" i="1"/>
  <c r="J28" i="1" l="1"/>
  <c r="K26" i="1" l="1"/>
  <c r="K27" i="1" s="1"/>
  <c r="J31" i="1"/>
  <c r="J32" i="1" s="1"/>
  <c r="K24" i="1"/>
  <c r="K28" i="1" l="1"/>
  <c r="L26" i="1" l="1"/>
  <c r="L27" i="1" s="1"/>
  <c r="K31" i="1"/>
  <c r="K32" i="1" s="1"/>
  <c r="L24" i="1"/>
  <c r="L28" i="1" l="1"/>
  <c r="M26" i="1" l="1"/>
  <c r="M27" i="1" s="1"/>
  <c r="L31" i="1"/>
  <c r="L32" i="1" s="1"/>
  <c r="M24" i="1"/>
  <c r="M28" i="1" l="1"/>
  <c r="M31" i="1" s="1"/>
  <c r="M32" i="1" l="1"/>
  <c r="N26" i="1"/>
  <c r="N24" i="1"/>
  <c r="N27" i="1" l="1"/>
  <c r="N28" i="1" s="1"/>
  <c r="O26" i="1"/>
  <c r="O27" i="1" l="1"/>
  <c r="C12" i="1"/>
  <c r="N31" i="1"/>
  <c r="N32" i="1" l="1"/>
  <c r="C14" i="1" s="1"/>
  <c r="O31" i="1"/>
  <c r="O28" i="1"/>
  <c r="C13" i="1"/>
</calcChain>
</file>

<file path=xl/sharedStrings.xml><?xml version="1.0" encoding="utf-8"?>
<sst xmlns="http://schemas.openxmlformats.org/spreadsheetml/2006/main" count="36" uniqueCount="32">
  <si>
    <t>Inputs</t>
  </si>
  <si>
    <t>Monthly Ad Spend</t>
  </si>
  <si>
    <t>CAC (Customer Acquisition Cost)</t>
  </si>
  <si>
    <t>Monthly Churn %</t>
  </si>
  <si>
    <t>Value</t>
  </si>
  <si>
    <t>Subscribers (Month 12)</t>
  </si>
  <si>
    <t>MRR (Month 12)</t>
  </si>
  <si>
    <t>ARR (Month 12)</t>
  </si>
  <si>
    <t>Monthly Schedule</t>
  </si>
  <si>
    <t>Subscribers</t>
  </si>
  <si>
    <t>Starting</t>
  </si>
  <si>
    <t>New</t>
  </si>
  <si>
    <t>Churn</t>
  </si>
  <si>
    <t>Revenue</t>
  </si>
  <si>
    <t>MRR (Monthly Recurring Revenue)</t>
  </si>
  <si>
    <t>Customer Acquisition</t>
  </si>
  <si>
    <t>New Customers</t>
  </si>
  <si>
    <t>Created by blake@synario.io</t>
  </si>
  <si>
    <t>12-Month Revenue Model</t>
  </si>
  <si>
    <t>Version</t>
  </si>
  <si>
    <t>1.0.0</t>
  </si>
  <si>
    <t>Date</t>
  </si>
  <si>
    <t>Assumptions</t>
  </si>
  <si>
    <t>ARPPU (Average Revenue Per Paying User)</t>
  </si>
  <si>
    <t>Derived outputs (auto-calculated)</t>
  </si>
  <si>
    <t>Net Adds (New - Churn)</t>
  </si>
  <si>
    <t>ARR (Annual Recurring Revenue) = MRR * 12</t>
  </si>
  <si>
    <t>-Churn is applied monthly by taking the previous month's ending subscriber's and multiplying by the monthly churn %</t>
  </si>
  <si>
    <t>-Revenue is calculated by multiplying the ending subscribers by the ARPPU (average revenue per paying user)</t>
  </si>
  <si>
    <t>-We do not assume any change month over month in price, cost, or churn</t>
  </si>
  <si>
    <t>-We recommend creating multiple scenarios (bear, base and bull) to better understand the sensitivity of the model inputs</t>
  </si>
  <si>
    <t>12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</si>
</sst>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6" formatCode="_(* #,##0_);_(* \(#,##0\);_(* &quot;-&quot;??_);_(@_)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E3E3E3"/>
      <name val="Arial"/>
      <family val="2"/>
    </font>
    <font>
      <i/>
      <sz val="11"/>
      <color theme="1"/>
      <name val="Arial"/>
      <family val="2"/>
    </font>
    <font>
      <b/>
      <sz val="11"/>
      <color rgb="FF234C6A"/>
      <name val="Arial"/>
      <family val="2"/>
    </font>
    <font>
      <sz val="11"/>
      <color rgb="FFE3E3E3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3C5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9" xfId="0" applyFont="1" applyFill="1" applyBorder="1" applyAlignment="1">
      <alignment horizontal="right" vertical="center"/>
    </xf>
    <xf numFmtId="0" fontId="4" fillId="0" borderId="20" xfId="0" applyFont="1" applyBorder="1" applyAlignment="1">
      <alignment vertical="center"/>
    </xf>
    <xf numFmtId="0" fontId="4" fillId="0" borderId="21" xfId="0" applyFont="1" applyBorder="1" applyAlignment="1">
      <alignment vertical="center"/>
    </xf>
    <xf numFmtId="43" fontId="8" fillId="0" borderId="3" xfId="1" applyFont="1" applyBorder="1" applyAlignment="1">
      <alignment vertical="center"/>
    </xf>
    <xf numFmtId="10" fontId="8" fillId="0" borderId="3" xfId="2" applyNumberFormat="1" applyFont="1" applyBorder="1" applyAlignment="1">
      <alignment vertical="center"/>
    </xf>
    <xf numFmtId="0" fontId="4" fillId="0" borderId="22" xfId="0" applyFont="1" applyBorder="1" applyAlignment="1">
      <alignment vertical="center"/>
    </xf>
    <xf numFmtId="43" fontId="8" fillId="0" borderId="19" xfId="1" applyFont="1" applyBorder="1" applyAlignment="1">
      <alignment vertical="center"/>
    </xf>
    <xf numFmtId="166" fontId="4" fillId="0" borderId="18" xfId="1" applyNumberFormat="1" applyFont="1" applyBorder="1" applyAlignment="1">
      <alignment vertical="center"/>
    </xf>
    <xf numFmtId="166" fontId="4" fillId="0" borderId="3" xfId="1" applyNumberFormat="1" applyFont="1" applyBorder="1" applyAlignment="1">
      <alignment vertical="center"/>
    </xf>
    <xf numFmtId="166" fontId="4" fillId="0" borderId="19" xfId="1" applyNumberFormat="1" applyFont="1" applyBorder="1" applyAlignment="1">
      <alignment vertical="center"/>
    </xf>
    <xf numFmtId="0" fontId="6" fillId="2" borderId="8" xfId="0" applyFont="1" applyFill="1" applyBorder="1" applyAlignment="1">
      <alignment horizontal="right" vertical="center"/>
    </xf>
    <xf numFmtId="0" fontId="4" fillId="0" borderId="15" xfId="0" applyFont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4" fillId="0" borderId="15" xfId="0" applyFont="1" applyBorder="1" applyAlignment="1">
      <alignment horizontal="left" vertical="center"/>
    </xf>
    <xf numFmtId="43" fontId="4" fillId="0" borderId="0" xfId="0" applyNumberFormat="1" applyFont="1" applyBorder="1" applyAlignment="1">
      <alignment horizontal="right" vertical="center"/>
    </xf>
    <xf numFmtId="43" fontId="4" fillId="0" borderId="2" xfId="0" applyNumberFormat="1" applyFont="1" applyBorder="1" applyAlignment="1">
      <alignment horizontal="right" vertical="center"/>
    </xf>
    <xf numFmtId="0" fontId="5" fillId="0" borderId="16" xfId="0" applyFont="1" applyBorder="1" applyAlignment="1">
      <alignment vertical="center"/>
    </xf>
    <xf numFmtId="166" fontId="5" fillId="0" borderId="12" xfId="0" applyNumberFormat="1" applyFont="1" applyBorder="1" applyAlignment="1">
      <alignment horizontal="right" vertical="center"/>
    </xf>
    <xf numFmtId="166" fontId="5" fillId="0" borderId="13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6" fontId="4" fillId="0" borderId="0" xfId="1" applyNumberFormat="1" applyFont="1" applyBorder="1" applyAlignment="1">
      <alignment vertical="center"/>
    </xf>
    <xf numFmtId="166" fontId="4" fillId="0" borderId="2" xfId="1" applyNumberFormat="1" applyFont="1" applyBorder="1" applyAlignment="1">
      <alignment vertical="center"/>
    </xf>
    <xf numFmtId="0" fontId="5" fillId="0" borderId="16" xfId="0" applyFont="1" applyBorder="1" applyAlignment="1">
      <alignment horizontal="left" vertical="center"/>
    </xf>
    <xf numFmtId="166" fontId="5" fillId="0" borderId="12" xfId="1" applyNumberFormat="1" applyFont="1" applyBorder="1" applyAlignment="1">
      <alignment vertical="center"/>
    </xf>
    <xf numFmtId="166" fontId="5" fillId="0" borderId="13" xfId="1" applyNumberFormat="1" applyFont="1" applyBorder="1" applyAlignment="1">
      <alignment vertical="center"/>
    </xf>
    <xf numFmtId="0" fontId="4" fillId="0" borderId="17" xfId="0" applyFont="1" applyBorder="1" applyAlignment="1">
      <alignment horizontal="left" vertical="center"/>
    </xf>
    <xf numFmtId="166" fontId="4" fillId="0" borderId="10" xfId="1" applyNumberFormat="1" applyFont="1" applyBorder="1" applyAlignment="1">
      <alignment vertical="center"/>
    </xf>
    <xf numFmtId="166" fontId="4" fillId="0" borderId="11" xfId="1" applyNumberFormat="1" applyFont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9" fillId="2" borderId="8" xfId="0" applyFont="1" applyFill="1" applyBorder="1" applyAlignment="1">
      <alignment vertical="center"/>
    </xf>
    <xf numFmtId="0" fontId="9" fillId="2" borderId="9" xfId="0" applyFont="1" applyFill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4" fillId="0" borderId="4" xfId="0" quotePrefix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0" xfId="0" applyFont="1" applyAlignment="1">
      <alignment horizontal="left" vertical="center" indent="6"/>
    </xf>
    <xf numFmtId="0" fontId="7" fillId="0" borderId="0" xfId="0" applyFont="1" applyAlignment="1">
      <alignment horizontal="left" vertical="center" indent="6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right" vertical="center"/>
    </xf>
    <xf numFmtId="14" fontId="10" fillId="0" borderId="0" xfId="0" applyNumberFormat="1" applyFont="1" applyAlignment="1">
      <alignment horizontal="right" vertical="center"/>
    </xf>
    <xf numFmtId="166" fontId="5" fillId="0" borderId="2" xfId="1" applyNumberFormat="1" applyFont="1" applyBorder="1" applyAlignment="1">
      <alignment vertical="center"/>
    </xf>
    <xf numFmtId="166" fontId="4" fillId="0" borderId="0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right" vertical="center"/>
    </xf>
    <xf numFmtId="166" fontId="8" fillId="0" borderId="18" xfId="1" applyNumberFormat="1" applyFont="1" applyBorder="1" applyAlignment="1">
      <alignment vertical="center"/>
    </xf>
  </cellXfs>
  <cellStyles count="3">
    <cellStyle name="Comma" xfId="1" builtinId="3"/>
    <cellStyle name="Normal" xfId="0" builtinId="0"/>
    <cellStyle name="Percent" xfId="2" builtinId="5"/>
  </cellStyles>
  <dxfs count="7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E3E3E3"/>
      <color rgb="FF1B3C53"/>
      <color rgb="FF456882"/>
      <color rgb="FF234C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Model'!$B$28</c:f>
              <c:strCache>
                <c:ptCount val="1"/>
                <c:pt idx="0">
                  <c:v>Subscribers</c:v>
                </c:pt>
              </c:strCache>
            </c:strRef>
          </c:tx>
          <c:spPr>
            <a:solidFill>
              <a:srgbClr val="1B3C53"/>
            </a:solidFill>
            <a:ln>
              <a:solidFill>
                <a:srgbClr val="1B3C53"/>
              </a:solidFill>
            </a:ln>
            <a:effectLst/>
          </c:spPr>
          <c:invertIfNegative val="0"/>
          <c:cat>
            <c:strRef>
              <c:f>'Revenue Model'!$C$16:$N$16</c:f>
              <c:strCache>
                <c:ptCount val="12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'Revenue Model'!$C$28:$N$28</c:f>
              <c:numCache>
                <c:formatCode>_(* #,##0_);_(* \(#,##0\);_(* "-"??_);_(@_)</c:formatCode>
                <c:ptCount val="12"/>
                <c:pt idx="0">
                  <c:v>500</c:v>
                </c:pt>
                <c:pt idx="1">
                  <c:v>975</c:v>
                </c:pt>
                <c:pt idx="2">
                  <c:v>1427</c:v>
                </c:pt>
                <c:pt idx="3">
                  <c:v>1856</c:v>
                </c:pt>
                <c:pt idx="4">
                  <c:v>2264</c:v>
                </c:pt>
                <c:pt idx="5">
                  <c:v>2651</c:v>
                </c:pt>
                <c:pt idx="6">
                  <c:v>3019</c:v>
                </c:pt>
                <c:pt idx="7">
                  <c:v>3369</c:v>
                </c:pt>
                <c:pt idx="8">
                  <c:v>3701</c:v>
                </c:pt>
                <c:pt idx="9">
                  <c:v>4016</c:v>
                </c:pt>
                <c:pt idx="10">
                  <c:v>4316</c:v>
                </c:pt>
                <c:pt idx="11">
                  <c:v>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DE-4089-AB87-26193980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2041579983"/>
        <c:axId val="2041580463"/>
      </c:barChart>
      <c:lineChart>
        <c:grouping val="standard"/>
        <c:varyColors val="0"/>
        <c:ser>
          <c:idx val="1"/>
          <c:order val="1"/>
          <c:tx>
            <c:v>MRR $</c:v>
          </c:tx>
          <c:spPr>
            <a:ln w="38100" cap="rnd">
              <a:solidFill>
                <a:srgbClr val="456882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'Revenue Model'!$C$16:$N$16</c:f>
              <c:strCache>
                <c:ptCount val="12"/>
                <c:pt idx="0">
                  <c:v>Dec</c:v>
                </c:pt>
                <c:pt idx="1">
                  <c:v>Jan</c:v>
                </c:pt>
                <c:pt idx="2">
                  <c:v>Feb</c:v>
                </c:pt>
                <c:pt idx="3">
                  <c:v>Mar</c:v>
                </c:pt>
                <c:pt idx="4">
                  <c:v>Apr</c:v>
                </c:pt>
                <c:pt idx="5">
                  <c:v>May</c:v>
                </c:pt>
                <c:pt idx="6">
                  <c:v>Jun</c:v>
                </c:pt>
                <c:pt idx="7">
                  <c:v>Jul</c:v>
                </c:pt>
                <c:pt idx="8">
                  <c:v>Aug</c:v>
                </c:pt>
                <c:pt idx="9">
                  <c:v>Sep</c:v>
                </c:pt>
                <c:pt idx="10">
                  <c:v>Oct</c:v>
                </c:pt>
                <c:pt idx="11">
                  <c:v>Nov</c:v>
                </c:pt>
              </c:strCache>
            </c:strRef>
          </c:cat>
          <c:val>
            <c:numRef>
              <c:f>'Revenue Model'!$C$31:$N$31</c:f>
              <c:numCache>
                <c:formatCode>_(* #,##0_);_(* \(#,##0\);_(* "-"??_);_(@_)</c:formatCode>
                <c:ptCount val="12"/>
                <c:pt idx="0">
                  <c:v>10000</c:v>
                </c:pt>
                <c:pt idx="1">
                  <c:v>19500</c:v>
                </c:pt>
                <c:pt idx="2">
                  <c:v>28540</c:v>
                </c:pt>
                <c:pt idx="3">
                  <c:v>37120</c:v>
                </c:pt>
                <c:pt idx="4">
                  <c:v>45280</c:v>
                </c:pt>
                <c:pt idx="5">
                  <c:v>53020</c:v>
                </c:pt>
                <c:pt idx="6">
                  <c:v>60380</c:v>
                </c:pt>
                <c:pt idx="7">
                  <c:v>67380</c:v>
                </c:pt>
                <c:pt idx="8">
                  <c:v>74020</c:v>
                </c:pt>
                <c:pt idx="9">
                  <c:v>80320</c:v>
                </c:pt>
                <c:pt idx="10">
                  <c:v>86320</c:v>
                </c:pt>
                <c:pt idx="11">
                  <c:v>92020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E-4089-AB87-2619398062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5346559"/>
        <c:axId val="2045454127"/>
      </c:lineChart>
      <c:catAx>
        <c:axId val="2041579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rgbClr val="1B3C5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580463"/>
        <c:auto val="1"/>
        <c:lblAlgn val="ctr"/>
        <c:lblOffset val="100"/>
        <c:noMultiLvlLbl val="0"/>
      </c:catAx>
      <c:valAx>
        <c:axId val="2041580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rgbClr val="1B3C5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Subscribers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1B3C5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rgbClr val="1B3C5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1579983"/>
        <c:crossBetween val="between"/>
      </c:valAx>
      <c:valAx>
        <c:axId val="204545412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ln>
                      <a:noFill/>
                    </a:ln>
                    <a:solidFill>
                      <a:srgbClr val="1B3C53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/>
                  <a:t>MRR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ln>
                    <a:noFill/>
                  </a:ln>
                  <a:solidFill>
                    <a:srgbClr val="1B3C53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rgbClr val="1B3C53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45346559"/>
        <c:crosses val="max"/>
        <c:crossBetween val="between"/>
      </c:valAx>
      <c:catAx>
        <c:axId val="204534655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4545412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ln>
                <a:noFill/>
              </a:ln>
              <a:solidFill>
                <a:srgbClr val="1B3C53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sz="900" b="1">
          <a:ln>
            <a:noFill/>
          </a:ln>
          <a:solidFill>
            <a:srgbClr val="1B3C53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openxmlformats.org/officeDocument/2006/relationships/hyperlink" Target="https://www.synario.io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399799</xdr:colOff>
      <xdr:row>3</xdr:row>
      <xdr:rowOff>1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5F3261-65A8-7CF8-9FF6-A04D281FC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171451"/>
          <a:ext cx="411229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342900</xdr:colOff>
      <xdr:row>2</xdr:row>
      <xdr:rowOff>1904</xdr:rowOff>
    </xdr:from>
    <xdr:to>
      <xdr:col>10</xdr:col>
      <xdr:colOff>0</xdr:colOff>
      <xdr:row>14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2716DE-EE52-38DD-D87B-429B51EF9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4406-64BC-47AC-9909-17B0DCC5CA27}">
  <dimension ref="B2:O38"/>
  <sheetViews>
    <sheetView showGridLines="0" tabSelected="1" zoomScaleNormal="100" workbookViewId="0"/>
  </sheetViews>
  <sheetFormatPr defaultRowHeight="13.8" x14ac:dyDescent="0.3"/>
  <cols>
    <col min="1" max="1" width="2.77734375" style="1" customWidth="1"/>
    <col min="2" max="2" width="43.33203125" style="1" customWidth="1"/>
    <col min="3" max="3" width="12.77734375" style="1" customWidth="1"/>
    <col min="4" max="15" width="11.88671875" style="1" customWidth="1"/>
    <col min="16" max="16384" width="8.88671875" style="1"/>
  </cols>
  <sheetData>
    <row r="2" spans="2:15" ht="17.399999999999999" x14ac:dyDescent="0.3">
      <c r="B2" s="42" t="s">
        <v>18</v>
      </c>
      <c r="N2" s="44" t="s">
        <v>19</v>
      </c>
      <c r="O2" s="45" t="s">
        <v>20</v>
      </c>
    </row>
    <row r="3" spans="2:15" ht="14.4" x14ac:dyDescent="0.3">
      <c r="B3" s="43" t="s">
        <v>17</v>
      </c>
      <c r="G3" s="2"/>
      <c r="N3" s="44" t="s">
        <v>21</v>
      </c>
      <c r="O3" s="46">
        <v>46005</v>
      </c>
    </row>
    <row r="4" spans="2:15" ht="14.4" thickBot="1" x14ac:dyDescent="0.35"/>
    <row r="5" spans="2:15" x14ac:dyDescent="0.3">
      <c r="B5" s="3" t="s">
        <v>0</v>
      </c>
      <c r="C5" s="4" t="s">
        <v>4</v>
      </c>
    </row>
    <row r="6" spans="2:15" x14ac:dyDescent="0.3">
      <c r="B6" s="5" t="s">
        <v>1</v>
      </c>
      <c r="C6" s="50">
        <v>25000</v>
      </c>
    </row>
    <row r="7" spans="2:15" x14ac:dyDescent="0.3">
      <c r="B7" s="6" t="s">
        <v>2</v>
      </c>
      <c r="C7" s="7">
        <v>50</v>
      </c>
    </row>
    <row r="8" spans="2:15" x14ac:dyDescent="0.3">
      <c r="B8" s="6" t="s">
        <v>3</v>
      </c>
      <c r="C8" s="8">
        <v>0.05</v>
      </c>
    </row>
    <row r="9" spans="2:15" ht="14.4" thickBot="1" x14ac:dyDescent="0.35">
      <c r="B9" s="9" t="s">
        <v>23</v>
      </c>
      <c r="C9" s="10">
        <v>20</v>
      </c>
    </row>
    <row r="10" spans="2:15" ht="14.4" thickBot="1" x14ac:dyDescent="0.35"/>
    <row r="11" spans="2:15" x14ac:dyDescent="0.3">
      <c r="B11" s="3" t="s">
        <v>24</v>
      </c>
      <c r="C11" s="4" t="s">
        <v>4</v>
      </c>
    </row>
    <row r="12" spans="2:15" x14ac:dyDescent="0.3">
      <c r="B12" s="5" t="s">
        <v>5</v>
      </c>
      <c r="C12" s="11">
        <f>N28</f>
        <v>4601</v>
      </c>
    </row>
    <row r="13" spans="2:15" x14ac:dyDescent="0.3">
      <c r="B13" s="6" t="s">
        <v>6</v>
      </c>
      <c r="C13" s="12">
        <f>N31</f>
        <v>92020</v>
      </c>
    </row>
    <row r="14" spans="2:15" ht="14.4" thickBot="1" x14ac:dyDescent="0.35">
      <c r="B14" s="9" t="s">
        <v>7</v>
      </c>
      <c r="C14" s="13">
        <f>N32</f>
        <v>1104240</v>
      </c>
    </row>
    <row r="15" spans="2:15" ht="14.4" thickBot="1" x14ac:dyDescent="0.35"/>
    <row r="16" spans="2:15" x14ac:dyDescent="0.3">
      <c r="B16" s="3" t="s">
        <v>8</v>
      </c>
      <c r="C16" s="14" t="str">
        <f ca="1">TEXT(EOMONTH(TODAY(),COLUMN()-3),"MMM")</f>
        <v>Dec</v>
      </c>
      <c r="D16" s="14" t="str">
        <f t="shared" ref="D16:P16" ca="1" si="0">TEXT(EOMONTH(TODAY(),COLUMN()-3),"MMM")</f>
        <v>Jan</v>
      </c>
      <c r="E16" s="14" t="str">
        <f t="shared" ca="1" si="0"/>
        <v>Feb</v>
      </c>
      <c r="F16" s="14" t="str">
        <f t="shared" ca="1" si="0"/>
        <v>Mar</v>
      </c>
      <c r="G16" s="14" t="str">
        <f t="shared" ca="1" si="0"/>
        <v>Apr</v>
      </c>
      <c r="H16" s="14" t="str">
        <f t="shared" ca="1" si="0"/>
        <v>May</v>
      </c>
      <c r="I16" s="14" t="str">
        <f t="shared" ca="1" si="0"/>
        <v>Jun</v>
      </c>
      <c r="J16" s="14" t="str">
        <f t="shared" ca="1" si="0"/>
        <v>Jul</v>
      </c>
      <c r="K16" s="14" t="str">
        <f t="shared" ca="1" si="0"/>
        <v>Aug</v>
      </c>
      <c r="L16" s="14" t="str">
        <f t="shared" ca="1" si="0"/>
        <v>Sep</v>
      </c>
      <c r="M16" s="14" t="str">
        <f t="shared" ca="1" si="0"/>
        <v>Oct</v>
      </c>
      <c r="N16" s="4" t="str">
        <f t="shared" ca="1" si="0"/>
        <v>Nov</v>
      </c>
      <c r="O16" s="4" t="s">
        <v>31</v>
      </c>
    </row>
    <row r="17" spans="2:15" x14ac:dyDescent="0.3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7"/>
      <c r="O17" s="17"/>
    </row>
    <row r="18" spans="2:15" x14ac:dyDescent="0.3">
      <c r="B18" s="18" t="s">
        <v>15</v>
      </c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7"/>
      <c r="O18" s="17"/>
    </row>
    <row r="19" spans="2:15" x14ac:dyDescent="0.3">
      <c r="B19" s="19" t="s">
        <v>1</v>
      </c>
      <c r="C19" s="48">
        <f>Monthly_Ad_Spend</f>
        <v>25000</v>
      </c>
      <c r="D19" s="48">
        <f>C19</f>
        <v>25000</v>
      </c>
      <c r="E19" s="48">
        <f t="shared" ref="E19:N19" si="1">D19</f>
        <v>25000</v>
      </c>
      <c r="F19" s="48">
        <f t="shared" si="1"/>
        <v>25000</v>
      </c>
      <c r="G19" s="48">
        <f t="shared" si="1"/>
        <v>25000</v>
      </c>
      <c r="H19" s="48">
        <f t="shared" si="1"/>
        <v>25000</v>
      </c>
      <c r="I19" s="48">
        <f t="shared" si="1"/>
        <v>25000</v>
      </c>
      <c r="J19" s="48">
        <f t="shared" si="1"/>
        <v>25000</v>
      </c>
      <c r="K19" s="48">
        <f t="shared" si="1"/>
        <v>25000</v>
      </c>
      <c r="L19" s="48">
        <f t="shared" si="1"/>
        <v>25000</v>
      </c>
      <c r="M19" s="48">
        <f t="shared" si="1"/>
        <v>25000</v>
      </c>
      <c r="N19" s="49">
        <f t="shared" si="1"/>
        <v>25000</v>
      </c>
      <c r="O19" s="49">
        <f>SUM(C19:N19)</f>
        <v>300000</v>
      </c>
    </row>
    <row r="20" spans="2:15" x14ac:dyDescent="0.3">
      <c r="B20" s="19" t="s">
        <v>2</v>
      </c>
      <c r="C20" s="20">
        <f>CAC</f>
        <v>50</v>
      </c>
      <c r="D20" s="20">
        <f>C20</f>
        <v>50</v>
      </c>
      <c r="E20" s="20">
        <f t="shared" ref="E20:N20" si="2">D20</f>
        <v>50</v>
      </c>
      <c r="F20" s="20">
        <f t="shared" si="2"/>
        <v>50</v>
      </c>
      <c r="G20" s="20">
        <f t="shared" si="2"/>
        <v>50</v>
      </c>
      <c r="H20" s="20">
        <f t="shared" si="2"/>
        <v>50</v>
      </c>
      <c r="I20" s="20">
        <f t="shared" si="2"/>
        <v>50</v>
      </c>
      <c r="J20" s="20">
        <f t="shared" si="2"/>
        <v>50</v>
      </c>
      <c r="K20" s="20">
        <f t="shared" si="2"/>
        <v>50</v>
      </c>
      <c r="L20" s="20">
        <f t="shared" si="2"/>
        <v>50</v>
      </c>
      <c r="M20" s="20">
        <f t="shared" si="2"/>
        <v>50</v>
      </c>
      <c r="N20" s="21">
        <f t="shared" si="2"/>
        <v>50</v>
      </c>
      <c r="O20" s="21">
        <f>IFERROR(O19/O21,0)</f>
        <v>50</v>
      </c>
    </row>
    <row r="21" spans="2:15" x14ac:dyDescent="0.3">
      <c r="B21" s="22" t="s">
        <v>16</v>
      </c>
      <c r="C21" s="23">
        <f>ROUNDDOWN(C19/C20,0)</f>
        <v>500</v>
      </c>
      <c r="D21" s="23">
        <f t="shared" ref="D21:P21" si="3">ROUNDDOWN(D19/D20,0)</f>
        <v>500</v>
      </c>
      <c r="E21" s="23">
        <f t="shared" si="3"/>
        <v>500</v>
      </c>
      <c r="F21" s="23">
        <f t="shared" si="3"/>
        <v>500</v>
      </c>
      <c r="G21" s="23">
        <f t="shared" si="3"/>
        <v>500</v>
      </c>
      <c r="H21" s="23">
        <f t="shared" si="3"/>
        <v>500</v>
      </c>
      <c r="I21" s="23">
        <f t="shared" si="3"/>
        <v>500</v>
      </c>
      <c r="J21" s="23">
        <f t="shared" si="3"/>
        <v>500</v>
      </c>
      <c r="K21" s="23">
        <f t="shared" si="3"/>
        <v>500</v>
      </c>
      <c r="L21" s="23">
        <f t="shared" si="3"/>
        <v>500</v>
      </c>
      <c r="M21" s="23">
        <f t="shared" si="3"/>
        <v>500</v>
      </c>
      <c r="N21" s="24">
        <f t="shared" si="3"/>
        <v>500</v>
      </c>
      <c r="O21" s="24">
        <f>SUM(C21:N21)</f>
        <v>6000</v>
      </c>
    </row>
    <row r="22" spans="2:15" x14ac:dyDescent="0.3">
      <c r="B22" s="15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/>
      <c r="O22" s="21"/>
    </row>
    <row r="23" spans="2:15" x14ac:dyDescent="0.3">
      <c r="B23" s="18" t="s">
        <v>9</v>
      </c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6"/>
      <c r="O23" s="26"/>
    </row>
    <row r="24" spans="2:15" x14ac:dyDescent="0.3">
      <c r="B24" s="19" t="s">
        <v>10</v>
      </c>
      <c r="C24" s="27">
        <v>0</v>
      </c>
      <c r="D24" s="27">
        <f>C28</f>
        <v>500</v>
      </c>
      <c r="E24" s="27">
        <f t="shared" ref="E24:N24" si="4">D28</f>
        <v>975</v>
      </c>
      <c r="F24" s="27">
        <f t="shared" si="4"/>
        <v>1427</v>
      </c>
      <c r="G24" s="27">
        <f t="shared" si="4"/>
        <v>1856</v>
      </c>
      <c r="H24" s="27">
        <f t="shared" si="4"/>
        <v>2264</v>
      </c>
      <c r="I24" s="27">
        <f t="shared" si="4"/>
        <v>2651</v>
      </c>
      <c r="J24" s="27">
        <f t="shared" si="4"/>
        <v>3019</v>
      </c>
      <c r="K24" s="27">
        <f t="shared" si="4"/>
        <v>3369</v>
      </c>
      <c r="L24" s="27">
        <f t="shared" si="4"/>
        <v>3701</v>
      </c>
      <c r="M24" s="27">
        <f t="shared" si="4"/>
        <v>4016</v>
      </c>
      <c r="N24" s="28">
        <f t="shared" si="4"/>
        <v>4316</v>
      </c>
      <c r="O24" s="28">
        <f>C24</f>
        <v>0</v>
      </c>
    </row>
    <row r="25" spans="2:15" x14ac:dyDescent="0.3">
      <c r="B25" s="19" t="s">
        <v>11</v>
      </c>
      <c r="C25" s="27">
        <f>C21</f>
        <v>500</v>
      </c>
      <c r="D25" s="27">
        <f t="shared" ref="D25:N25" si="5">D21</f>
        <v>500</v>
      </c>
      <c r="E25" s="27">
        <f t="shared" si="5"/>
        <v>500</v>
      </c>
      <c r="F25" s="27">
        <f t="shared" si="5"/>
        <v>500</v>
      </c>
      <c r="G25" s="27">
        <f t="shared" si="5"/>
        <v>500</v>
      </c>
      <c r="H25" s="27">
        <f t="shared" si="5"/>
        <v>500</v>
      </c>
      <c r="I25" s="27">
        <f t="shared" si="5"/>
        <v>500</v>
      </c>
      <c r="J25" s="27">
        <f t="shared" si="5"/>
        <v>500</v>
      </c>
      <c r="K25" s="27">
        <f t="shared" si="5"/>
        <v>500</v>
      </c>
      <c r="L25" s="27">
        <f t="shared" si="5"/>
        <v>500</v>
      </c>
      <c r="M25" s="27">
        <f t="shared" si="5"/>
        <v>500</v>
      </c>
      <c r="N25" s="28">
        <f t="shared" si="5"/>
        <v>500</v>
      </c>
      <c r="O25" s="28">
        <f>SUM(C25:N25)</f>
        <v>6000</v>
      </c>
    </row>
    <row r="26" spans="2:15" x14ac:dyDescent="0.3">
      <c r="B26" s="19" t="s">
        <v>12</v>
      </c>
      <c r="C26" s="27">
        <v>0</v>
      </c>
      <c r="D26" s="27">
        <f>ROUNDDOWN(C28*(Monthly_Churn),0)</f>
        <v>25</v>
      </c>
      <c r="E26" s="27">
        <f>ROUNDDOWN(D28*(Monthly_Churn),0)</f>
        <v>48</v>
      </c>
      <c r="F26" s="27">
        <f>ROUNDDOWN(E28*(Monthly_Churn),0)</f>
        <v>71</v>
      </c>
      <c r="G26" s="27">
        <f>ROUNDDOWN(F28*(Monthly_Churn),0)</f>
        <v>92</v>
      </c>
      <c r="H26" s="27">
        <f>ROUNDDOWN(G28*(Monthly_Churn),0)</f>
        <v>113</v>
      </c>
      <c r="I26" s="27">
        <f>ROUNDDOWN(H28*(Monthly_Churn),0)</f>
        <v>132</v>
      </c>
      <c r="J26" s="27">
        <f>ROUNDDOWN(I28*(Monthly_Churn),0)</f>
        <v>150</v>
      </c>
      <c r="K26" s="27">
        <f>ROUNDDOWN(J28*(Monthly_Churn),0)</f>
        <v>168</v>
      </c>
      <c r="L26" s="27">
        <f>ROUNDDOWN(K28*(Monthly_Churn),0)</f>
        <v>185</v>
      </c>
      <c r="M26" s="27">
        <f>ROUNDDOWN(L28*(Monthly_Churn),0)</f>
        <v>200</v>
      </c>
      <c r="N26" s="28">
        <f>ROUNDDOWN(M28*(Monthly_Churn),0)</f>
        <v>215</v>
      </c>
      <c r="O26" s="28">
        <f>SUM(C26:N26)</f>
        <v>1399</v>
      </c>
    </row>
    <row r="27" spans="2:15" x14ac:dyDescent="0.3">
      <c r="B27" s="19" t="s">
        <v>25</v>
      </c>
      <c r="C27" s="27">
        <f>C25-C26</f>
        <v>500</v>
      </c>
      <c r="D27" s="27">
        <f t="shared" ref="D27:P27" si="6">D25-D26</f>
        <v>475</v>
      </c>
      <c r="E27" s="27">
        <f t="shared" si="6"/>
        <v>452</v>
      </c>
      <c r="F27" s="27">
        <f t="shared" si="6"/>
        <v>429</v>
      </c>
      <c r="G27" s="27">
        <f t="shared" si="6"/>
        <v>408</v>
      </c>
      <c r="H27" s="27">
        <f t="shared" si="6"/>
        <v>387</v>
      </c>
      <c r="I27" s="27">
        <f t="shared" si="6"/>
        <v>368</v>
      </c>
      <c r="J27" s="27">
        <f t="shared" si="6"/>
        <v>350</v>
      </c>
      <c r="K27" s="27">
        <f t="shared" si="6"/>
        <v>332</v>
      </c>
      <c r="L27" s="27">
        <f t="shared" si="6"/>
        <v>315</v>
      </c>
      <c r="M27" s="27">
        <f t="shared" si="6"/>
        <v>300</v>
      </c>
      <c r="N27" s="28">
        <f t="shared" si="6"/>
        <v>285</v>
      </c>
      <c r="O27" s="28">
        <f t="shared" si="6"/>
        <v>4601</v>
      </c>
    </row>
    <row r="28" spans="2:15" x14ac:dyDescent="0.3">
      <c r="B28" s="29" t="s">
        <v>9</v>
      </c>
      <c r="C28" s="30">
        <f>C24+C27</f>
        <v>500</v>
      </c>
      <c r="D28" s="30">
        <f t="shared" ref="D28:P28" si="7">D24+D27</f>
        <v>975</v>
      </c>
      <c r="E28" s="30">
        <f t="shared" si="7"/>
        <v>1427</v>
      </c>
      <c r="F28" s="30">
        <f t="shared" si="7"/>
        <v>1856</v>
      </c>
      <c r="G28" s="30">
        <f t="shared" si="7"/>
        <v>2264</v>
      </c>
      <c r="H28" s="30">
        <f t="shared" si="7"/>
        <v>2651</v>
      </c>
      <c r="I28" s="30">
        <f t="shared" si="7"/>
        <v>3019</v>
      </c>
      <c r="J28" s="30">
        <f t="shared" si="7"/>
        <v>3369</v>
      </c>
      <c r="K28" s="30">
        <f t="shared" si="7"/>
        <v>3701</v>
      </c>
      <c r="L28" s="30">
        <f t="shared" si="7"/>
        <v>4016</v>
      </c>
      <c r="M28" s="30">
        <f t="shared" si="7"/>
        <v>4316</v>
      </c>
      <c r="N28" s="31">
        <f t="shared" si="7"/>
        <v>4601</v>
      </c>
      <c r="O28" s="31">
        <f t="shared" si="7"/>
        <v>4601</v>
      </c>
    </row>
    <row r="29" spans="2:15" x14ac:dyDescent="0.3">
      <c r="B29" s="1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6"/>
      <c r="O29" s="26"/>
    </row>
    <row r="30" spans="2:15" x14ac:dyDescent="0.3">
      <c r="B30" s="18" t="s">
        <v>13</v>
      </c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6"/>
      <c r="O30" s="26"/>
    </row>
    <row r="31" spans="2:15" x14ac:dyDescent="0.3">
      <c r="B31" s="19" t="s">
        <v>14</v>
      </c>
      <c r="C31" s="27">
        <f>C28*ARPPU</f>
        <v>10000</v>
      </c>
      <c r="D31" s="27">
        <f>D28*ARPPU</f>
        <v>19500</v>
      </c>
      <c r="E31" s="27">
        <f>E28*ARPPU</f>
        <v>28540</v>
      </c>
      <c r="F31" s="27">
        <f>F28*ARPPU</f>
        <v>37120</v>
      </c>
      <c r="G31" s="27">
        <f>G28*ARPPU</f>
        <v>45280</v>
      </c>
      <c r="H31" s="27">
        <f>H28*ARPPU</f>
        <v>53020</v>
      </c>
      <c r="I31" s="27">
        <f>I28*ARPPU</f>
        <v>60380</v>
      </c>
      <c r="J31" s="27">
        <f>J28*ARPPU</f>
        <v>67380</v>
      </c>
      <c r="K31" s="27">
        <f>K28*ARPPU</f>
        <v>74020</v>
      </c>
      <c r="L31" s="27">
        <f>L28*ARPPU</f>
        <v>80320</v>
      </c>
      <c r="M31" s="27">
        <f>M28*ARPPU</f>
        <v>86320</v>
      </c>
      <c r="N31" s="28">
        <f>N28*ARPPU</f>
        <v>92020</v>
      </c>
      <c r="O31" s="47">
        <f>SUM(C31:N31)</f>
        <v>653900</v>
      </c>
    </row>
    <row r="32" spans="2:15" ht="14.4" thickBot="1" x14ac:dyDescent="0.35">
      <c r="B32" s="32" t="s">
        <v>26</v>
      </c>
      <c r="C32" s="33">
        <f>C31*12</f>
        <v>120000</v>
      </c>
      <c r="D32" s="33">
        <f t="shared" ref="D32:P32" si="8">D31*12</f>
        <v>234000</v>
      </c>
      <c r="E32" s="33">
        <f t="shared" si="8"/>
        <v>342480</v>
      </c>
      <c r="F32" s="33">
        <f t="shared" si="8"/>
        <v>445440</v>
      </c>
      <c r="G32" s="33">
        <f t="shared" si="8"/>
        <v>543360</v>
      </c>
      <c r="H32" s="33">
        <f t="shared" si="8"/>
        <v>636240</v>
      </c>
      <c r="I32" s="33">
        <f t="shared" si="8"/>
        <v>724560</v>
      </c>
      <c r="J32" s="33">
        <f t="shared" si="8"/>
        <v>808560</v>
      </c>
      <c r="K32" s="33">
        <f t="shared" si="8"/>
        <v>888240</v>
      </c>
      <c r="L32" s="33">
        <f t="shared" si="8"/>
        <v>963840</v>
      </c>
      <c r="M32" s="33">
        <f t="shared" si="8"/>
        <v>1035840</v>
      </c>
      <c r="N32" s="34">
        <f t="shared" si="8"/>
        <v>1104240</v>
      </c>
      <c r="O32" s="34"/>
    </row>
    <row r="33" spans="2:8" ht="15" thickTop="1" thickBot="1" x14ac:dyDescent="0.35"/>
    <row r="34" spans="2:8" x14ac:dyDescent="0.3">
      <c r="B34" s="35" t="s">
        <v>22</v>
      </c>
      <c r="C34" s="36"/>
      <c r="D34" s="36"/>
      <c r="E34" s="36"/>
      <c r="F34" s="36"/>
      <c r="G34" s="36"/>
      <c r="H34" s="37"/>
    </row>
    <row r="35" spans="2:8" x14ac:dyDescent="0.3">
      <c r="B35" s="38" t="s">
        <v>27</v>
      </c>
      <c r="C35" s="25"/>
      <c r="D35" s="25"/>
      <c r="E35" s="25"/>
      <c r="F35" s="25"/>
      <c r="G35" s="25"/>
      <c r="H35" s="26"/>
    </row>
    <row r="36" spans="2:8" x14ac:dyDescent="0.3">
      <c r="B36" s="38" t="s">
        <v>28</v>
      </c>
      <c r="C36" s="25"/>
      <c r="D36" s="25"/>
      <c r="E36" s="25"/>
      <c r="F36" s="25"/>
      <c r="G36" s="25"/>
      <c r="H36" s="26"/>
    </row>
    <row r="37" spans="2:8" x14ac:dyDescent="0.3">
      <c r="B37" s="38" t="s">
        <v>29</v>
      </c>
      <c r="C37" s="25"/>
      <c r="D37" s="25"/>
      <c r="E37" s="25"/>
      <c r="F37" s="25"/>
      <c r="G37" s="25"/>
      <c r="H37" s="26"/>
    </row>
    <row r="38" spans="2:8" ht="14.4" thickBot="1" x14ac:dyDescent="0.35">
      <c r="B38" s="39" t="s">
        <v>30</v>
      </c>
      <c r="C38" s="40"/>
      <c r="D38" s="40"/>
      <c r="E38" s="40"/>
      <c r="F38" s="40"/>
      <c r="G38" s="40"/>
      <c r="H38" s="41"/>
    </row>
  </sheetData>
  <phoneticPr fontId="2" type="noConversion"/>
  <conditionalFormatting sqref="B17:N32">
    <cfRule type="expression" dxfId="6" priority="5">
      <formula>MOD(ROW(),2)=0</formula>
    </cfRule>
  </conditionalFormatting>
  <conditionalFormatting sqref="B6:C9">
    <cfRule type="expression" dxfId="5" priority="4">
      <formula>MOD(ROW(),2)=0</formula>
    </cfRule>
  </conditionalFormatting>
  <conditionalFormatting sqref="B12:C14">
    <cfRule type="expression" dxfId="4" priority="3">
      <formula>MOD(ROW(),2)=0</formula>
    </cfRule>
  </conditionalFormatting>
  <conditionalFormatting sqref="B35:H38">
    <cfRule type="expression" dxfId="3" priority="2">
      <formula>MOD(ROW(),2)=0</formula>
    </cfRule>
  </conditionalFormatting>
  <conditionalFormatting sqref="O17:O32">
    <cfRule type="expression" dxfId="1" priority="1">
      <formula>MOD(ROW(),2)=0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Revenue Model</vt:lpstr>
      <vt:lpstr>ARPPU</vt:lpstr>
      <vt:lpstr>CAC</vt:lpstr>
      <vt:lpstr>Monthly_Ad_Spend</vt:lpstr>
      <vt:lpstr>Monthly_Churn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Ekelund</dc:creator>
  <cp:lastModifiedBy>Blake Ekelund</cp:lastModifiedBy>
  <dcterms:created xsi:type="dcterms:W3CDTF">2025-12-15T00:44:23Z</dcterms:created>
  <dcterms:modified xsi:type="dcterms:W3CDTF">2025-12-15T01:40:32Z</dcterms:modified>
</cp:coreProperties>
</file>